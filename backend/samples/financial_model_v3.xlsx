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3" fillId="3" borderId="0" pivotButton="0" quotePrefix="0" xfId="0"/>
    <xf numFmtId="165" fontId="3" fillId="0" borderId="0" pivotButton="0" quotePrefix="0" xfId="0"/>
    <xf numFmtId="0" fontId="4" fillId="0" borderId="0" pivotButton="0" quotePrefix="0" xfId="0"/>
    <xf numFmtId="165" fontId="4" fillId="4" borderId="0" pivotButton="0" quotePrefix="0" xfId="0"/>
    <xf numFmtId="0" fontId="3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Key Financial Assumptions (Forecast)</t>
        </is>
      </c>
    </row>
    <row r="3">
      <c r="A3" s="2" t="inlineStr">
        <is>
          <t>Assumption</t>
        </is>
      </c>
      <c r="B3" s="2" t="inlineStr">
        <is>
          <t>Value</t>
        </is>
      </c>
    </row>
    <row r="4">
      <c r="A4" t="inlineStr">
        <is>
          <t>Base Growth Rate</t>
        </is>
      </c>
      <c r="B4" s="3" t="n">
        <v>0.16</v>
      </c>
    </row>
    <row r="5">
      <c r="A5" t="inlineStr">
        <is>
          <t>Tax Rate</t>
        </is>
      </c>
      <c r="B5" s="3" t="n">
        <v>0.22</v>
      </c>
    </row>
    <row r="6">
      <c r="A6" t="inlineStr">
        <is>
          <t>Discount Rate</t>
        </is>
      </c>
      <c r="B6" s="3" t="n">
        <v>0.1</v>
      </c>
    </row>
    <row r="7">
      <c r="A7" t="inlineStr">
        <is>
          <t>Inflation Rate</t>
        </is>
      </c>
      <c r="B7" s="3" t="n">
        <v>0.03</v>
      </c>
    </row>
    <row r="8">
      <c r="A8" t="inlineStr">
        <is>
          <t>Sales Target Units</t>
        </is>
      </c>
      <c r="B8" s="4" t="n">
        <v>6200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Revenue Projections by Product</t>
        </is>
      </c>
    </row>
    <row r="3">
      <c r="A3" s="2" t="inlineStr">
        <is>
          <t>Product Line</t>
        </is>
      </c>
      <c r="B3" s="2" t="inlineStr">
        <is>
          <t>Base Units</t>
        </is>
      </c>
      <c r="C3" s="2" t="inlineStr">
        <is>
          <t>Unit Price</t>
        </is>
      </c>
      <c r="D3" s="2" t="inlineStr">
        <is>
          <t>Q1 Revenue</t>
        </is>
      </c>
      <c r="E3" s="2" t="inlineStr">
        <is>
          <t>Q2 Revenue</t>
        </is>
      </c>
      <c r="F3" s="2" t="inlineStr">
        <is>
          <t>Q3 Revenue</t>
        </is>
      </c>
      <c r="G3" s="2" t="inlineStr">
        <is>
          <t>Q4 Revenue</t>
        </is>
      </c>
      <c r="H3" s="2" t="inlineStr">
        <is>
          <t>Total Year</t>
        </is>
      </c>
    </row>
    <row r="4">
      <c r="A4" t="inlineStr">
        <is>
          <t>Enterprise Software</t>
        </is>
      </c>
      <c r="B4" s="4" t="n">
        <v>1500</v>
      </c>
      <c r="C4" s="5" t="n">
        <v>450</v>
      </c>
      <c r="D4" s="5">
        <f>B4*C4/4</f>
        <v/>
      </c>
      <c r="E4" s="5">
        <f>D4*(1+Assumptions!B4)</f>
        <v/>
      </c>
      <c r="F4" s="5">
        <f>E4*(1+Assumptions!B4)</f>
        <v/>
      </c>
      <c r="G4" s="5">
        <f>F4*(1+Assumptions!B4)</f>
        <v/>
      </c>
      <c r="H4" s="5">
        <f>SUM(D4:G4)</f>
        <v/>
      </c>
    </row>
    <row r="5">
      <c r="A5" t="inlineStr">
        <is>
          <t>Cloud Subscription</t>
        </is>
      </c>
      <c r="B5" s="4" t="n">
        <v>4200</v>
      </c>
      <c r="C5" s="5" t="n">
        <v>120</v>
      </c>
      <c r="D5" s="5">
        <f>B5*C5/4</f>
        <v/>
      </c>
      <c r="E5" s="5">
        <f>D5*(1+Assumptions!B4)</f>
        <v/>
      </c>
      <c r="F5" s="5">
        <f>E5*(1+Assumptions!B4)</f>
        <v/>
      </c>
      <c r="G5" s="5">
        <f>F5*(1+Assumptions!B4)</f>
        <v/>
      </c>
      <c r="H5" s="5">
        <f>SUM(D5:G5)</f>
        <v/>
      </c>
    </row>
    <row r="6">
      <c r="A6" t="inlineStr">
        <is>
          <t>Consulting Services</t>
        </is>
      </c>
      <c r="B6" s="4" t="n">
        <v>800</v>
      </c>
      <c r="C6" s="5" t="n">
        <v>200</v>
      </c>
      <c r="D6" s="5">
        <f>B6*C6/4</f>
        <v/>
      </c>
      <c r="E6" s="5">
        <f>D6*(1+Assumptions!B4)</f>
        <v/>
      </c>
      <c r="F6" s="5">
        <f>E6*(1+Assumptions!B4)</f>
        <v/>
      </c>
      <c r="G6" s="5">
        <f>F6*(1+Assumptions!B4)</f>
        <v/>
      </c>
      <c r="H6" s="5">
        <f>SUM(D6:G6)</f>
        <v/>
      </c>
    </row>
    <row r="7">
      <c r="A7" t="inlineStr">
        <is>
          <t>Hardware Appliances</t>
        </is>
      </c>
      <c r="B7" s="4" t="n">
        <v>400</v>
      </c>
      <c r="C7" s="5" t="n">
        <v>850</v>
      </c>
      <c r="D7" s="5">
        <f>B7*C7/4</f>
        <v/>
      </c>
      <c r="E7" s="5">
        <f>D7*(1+Assumptions!B4)</f>
        <v/>
      </c>
      <c r="F7" s="5">
        <f>E7*(1+Assumptions!B4)</f>
        <v/>
      </c>
      <c r="G7" s="5">
        <f>F7*(1+Assumptions!B4)</f>
        <v/>
      </c>
      <c r="H7" s="5">
        <f>SUM(D7:G7)</f>
        <v/>
      </c>
    </row>
    <row r="8">
      <c r="A8" s="6" t="inlineStr">
        <is>
          <t>Total Revenue</t>
        </is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  <c r="H8" s="7">
        <f>SUM(H4:H7)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Operating &amp; Cost Breakdown</t>
        </is>
      </c>
    </row>
    <row r="3">
      <c r="A3" s="2" t="inlineStr">
        <is>
          <t>Cost Category</t>
        </is>
      </c>
      <c r="B3" s="2" t="inlineStr">
        <is>
          <t>Type</t>
        </is>
      </c>
      <c r="C3" s="2" t="inlineStr">
        <is>
          <t>Q1 Costs</t>
        </is>
      </c>
      <c r="D3" s="2" t="inlineStr">
        <is>
          <t>Q2 Costs</t>
        </is>
      </c>
      <c r="E3" s="2" t="inlineStr">
        <is>
          <t>Q3 Costs</t>
        </is>
      </c>
      <c r="F3" s="2" t="inlineStr">
        <is>
          <t>Q4 Costs</t>
        </is>
      </c>
      <c r="G3" s="2" t="inlineStr">
        <is>
          <t>Annual Total</t>
        </is>
      </c>
    </row>
    <row r="4">
      <c r="A4" t="inlineStr">
        <is>
          <t>Direct Labor / COGS</t>
        </is>
      </c>
      <c r="B4" t="inlineStr">
        <is>
          <t>COGS</t>
        </is>
      </c>
      <c r="C4" s="5">
        <f>Revenue!D8*0.35</f>
        <v/>
      </c>
      <c r="D4" s="5">
        <f>Revenue!E8*0.35</f>
        <v/>
      </c>
      <c r="E4" s="5">
        <f>Revenue!F8*0.35</f>
        <v/>
      </c>
      <c r="F4" s="5">
        <f>Revenue!G8*0.35</f>
        <v/>
      </c>
      <c r="G4" s="5">
        <f>SUM(C4:F4)</f>
        <v/>
      </c>
    </row>
    <row r="5">
      <c r="A5" t="inlineStr">
        <is>
          <t>Research &amp; Development</t>
        </is>
      </c>
      <c r="B5" t="inlineStr">
        <is>
          <t>OPEX</t>
        </is>
      </c>
      <c r="C5" s="5" t="n">
        <v>120000</v>
      </c>
      <c r="D5" s="5">
        <f>C5*(1+Assumptions!B7)</f>
        <v/>
      </c>
      <c r="E5" s="5">
        <f>D5*(1+Assumptions!B7)</f>
        <v/>
      </c>
      <c r="F5" s="5">
        <f>E5*(1+Assumptions!B7)</f>
        <v/>
      </c>
      <c r="G5" s="5">
        <f>SUM(C5:F5)</f>
        <v/>
      </c>
    </row>
    <row r="6">
      <c r="A6" t="inlineStr">
        <is>
          <t>Sales &amp; Marketing</t>
        </is>
      </c>
      <c r="B6" t="inlineStr">
        <is>
          <t>OPEX</t>
        </is>
      </c>
      <c r="C6" s="5">
        <f>Revenue!D8*0.15</f>
        <v/>
      </c>
      <c r="D6" s="5">
        <f>Revenue!E8*0.15</f>
        <v/>
      </c>
      <c r="E6" s="5">
        <f>Revenue!F8*0.15</f>
        <v/>
      </c>
      <c r="F6" s="5">
        <f>Revenue!G8*0.15</f>
        <v/>
      </c>
      <c r="G6" s="5">
        <f>SUM(C6:F6)</f>
        <v/>
      </c>
    </row>
    <row r="7">
      <c r="A7" t="inlineStr">
        <is>
          <t>General &amp; Administrative</t>
        </is>
      </c>
      <c r="B7" t="inlineStr">
        <is>
          <t>OPEX</t>
        </is>
      </c>
      <c r="C7" s="5" t="n">
        <v>85000</v>
      </c>
      <c r="D7" s="5" t="n">
        <v>85000</v>
      </c>
      <c r="E7" s="5" t="n">
        <v>85000</v>
      </c>
      <c r="F7" s="5" t="n">
        <v>85000</v>
      </c>
      <c r="G7" s="5">
        <f>SUM(C7:F7)</f>
        <v/>
      </c>
    </row>
    <row r="8">
      <c r="A8" s="6" t="inlineStr">
        <is>
          <t>Total Expenses</t>
        </is>
      </c>
      <c r="C8" s="7">
        <f>SUM(C4:C7)</f>
        <v/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Executive Income Statement (Laporan Laba Rugi)</t>
        </is>
      </c>
    </row>
    <row r="3">
      <c r="A3" s="2" t="inlineStr">
        <is>
          <t>Metric / Account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Full Year</t>
        </is>
      </c>
    </row>
    <row r="4">
      <c r="A4" t="inlineStr">
        <is>
          <t>Gross Revenue</t>
        </is>
      </c>
      <c r="B4" s="5">
        <f>Revenue!D8</f>
        <v/>
      </c>
      <c r="C4" s="5">
        <f>Revenue!E8</f>
        <v/>
      </c>
      <c r="D4" s="5">
        <f>Revenue!F8</f>
        <v/>
      </c>
      <c r="E4" s="5">
        <f>Revenue!G8</f>
        <v/>
      </c>
      <c r="F4" s="5">
        <f>Revenue!H8</f>
        <v/>
      </c>
    </row>
    <row r="5">
      <c r="A5" t="inlineStr">
        <is>
          <t>Total Expenses</t>
        </is>
      </c>
      <c r="B5" s="5">
        <f>Costs!C8</f>
        <v/>
      </c>
      <c r="C5" s="5">
        <f>Costs!D8</f>
        <v/>
      </c>
      <c r="D5" s="5">
        <f>Costs!F8</f>
        <v/>
      </c>
      <c r="E5" s="5">
        <f>Costs!F8</f>
        <v/>
      </c>
      <c r="F5" s="5">
        <f>Costs!G8</f>
        <v/>
      </c>
    </row>
    <row r="6">
      <c r="A6" s="6" t="inlineStr">
        <is>
          <t>Operating Income (EBIT)</t>
        </is>
      </c>
      <c r="B6" s="8">
        <f>B4-B5</f>
        <v/>
      </c>
      <c r="C6" s="8">
        <f>C4-C5</f>
        <v/>
      </c>
      <c r="D6" s="8">
        <f>D4-D5</f>
        <v/>
      </c>
      <c r="E6" s="8">
        <f>E4-E5</f>
        <v/>
      </c>
      <c r="F6" s="8">
        <f>SUM(B6:E6)</f>
        <v/>
      </c>
    </row>
    <row r="7">
      <c r="A7" t="inlineStr">
        <is>
          <t>Income Tax</t>
        </is>
      </c>
      <c r="B7" s="5">
        <f>B6*Assumptions!B5</f>
        <v/>
      </c>
      <c r="C7" s="5">
        <f>C6*Assumptions!B5</f>
        <v/>
      </c>
      <c r="D7" s="5">
        <f>D6*Assumptions!B5</f>
        <v/>
      </c>
      <c r="E7" s="5">
        <f>E6*Assumptions!B5</f>
        <v/>
      </c>
      <c r="F7" s="5">
        <f>SUM(B7:E7)</f>
        <v/>
      </c>
    </row>
    <row r="8">
      <c r="A8" s="9" t="inlineStr">
        <is>
          <t>Net Income</t>
        </is>
      </c>
      <c r="B8" s="10">
        <f>B6-B7</f>
        <v/>
      </c>
      <c r="C8" s="10">
        <f>C6-C7</f>
        <v/>
      </c>
      <c r="D8" s="10">
        <f>D6-D7</f>
        <v/>
      </c>
      <c r="E8" s="10">
        <f>E6-E7</f>
        <v/>
      </c>
      <c r="F8" s="10">
        <f>F6-F7</f>
        <v/>
      </c>
    </row>
    <row r="9">
      <c r="A9" t="inlineStr">
        <is>
          <t>AI Cloud Infrastructure Fee</t>
        </is>
      </c>
      <c r="B9" s="5" t="n">
        <v>20000</v>
      </c>
      <c r="C9" s="5" t="n">
        <v>25000</v>
      </c>
      <c r="D9" s="5" t="n">
        <v>30000</v>
      </c>
      <c r="E9" s="5" t="n">
        <v>35000</v>
      </c>
      <c r="F9" s="5" t="n">
        <v>110000</v>
      </c>
    </row>
    <row r="10">
      <c r="A10" t="inlineStr">
        <is>
          <t>R&amp;D Innovation Grant</t>
        </is>
      </c>
      <c r="B10" s="5" t="n">
        <v>50000</v>
      </c>
      <c r="C10" s="5" t="n">
        <v>50000</v>
      </c>
      <c r="D10" s="5" t="n">
        <v>50000</v>
      </c>
      <c r="E10" s="5" t="n">
        <v>50000</v>
      </c>
      <c r="F10" s="5" t="n">
        <v>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Executive Balance Sheet (Neraca)</t>
        </is>
      </c>
    </row>
    <row r="3">
      <c r="A3" s="2" t="inlineStr">
        <is>
          <t>Balance Sheet Account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Year End</t>
        </is>
      </c>
    </row>
    <row r="4">
      <c r="A4" t="inlineStr">
        <is>
          <t>Cash &amp; Cash Equivalents</t>
        </is>
      </c>
      <c r="B4" s="5" t="n">
        <v>180000</v>
      </c>
      <c r="C4" s="5" t="n">
        <v>142000</v>
      </c>
      <c r="D4" s="5" t="n">
        <v>168000</v>
      </c>
      <c r="E4" s="5" t="n">
        <v>195000</v>
      </c>
      <c r="F4" s="5">
        <f>E4</f>
        <v/>
      </c>
    </row>
    <row r="5">
      <c r="A5" t="inlineStr">
        <is>
          <t>Accounts Receivable</t>
        </is>
      </c>
      <c r="B5" s="5">
        <f>Revenue!D8*0.14</f>
        <v/>
      </c>
      <c r="C5" s="5">
        <f>Revenue!E8*0.14</f>
        <v/>
      </c>
      <c r="D5" s="5">
        <f>Revenue!F8*0.14</f>
        <v/>
      </c>
      <c r="E5" s="5">
        <f>Revenue!G8*0.14</f>
        <v/>
      </c>
      <c r="F5" s="5">
        <f>E5</f>
        <v/>
      </c>
    </row>
    <row r="6">
      <c r="A6" t="inlineStr">
        <is>
          <t>Inventories</t>
        </is>
      </c>
      <c r="B6" s="5" t="n">
        <v>85000</v>
      </c>
      <c r="C6" s="5" t="n">
        <v>88000</v>
      </c>
      <c r="D6" s="5" t="n">
        <v>92000</v>
      </c>
      <c r="E6" s="5" t="n">
        <v>95000</v>
      </c>
      <c r="F6" s="5">
        <f>E6</f>
        <v/>
      </c>
    </row>
    <row r="7">
      <c r="A7" s="6" t="inlineStr">
        <is>
          <t>Total Current Assets</t>
        </is>
      </c>
      <c r="B7" s="8">
        <f>SUM(B4:B6)</f>
        <v/>
      </c>
      <c r="C7" s="8">
        <f>SUM(C4:C6)</f>
        <v/>
      </c>
      <c r="D7" s="8">
        <f>SUM(D4:D6)</f>
        <v/>
      </c>
      <c r="E7" s="8">
        <f>SUM(E4:E6)</f>
        <v/>
      </c>
      <c r="F7" s="8">
        <f>E7</f>
        <v/>
      </c>
    </row>
    <row r="8">
      <c r="A8" t="inlineStr">
        <is>
          <t>Property, Plant &amp; Equipment (Net)</t>
        </is>
      </c>
      <c r="B8" s="5" t="n">
        <v>540000</v>
      </c>
      <c r="C8" s="5" t="n">
        <v>440000</v>
      </c>
      <c r="D8" s="5" t="n">
        <v>430000</v>
      </c>
      <c r="E8" s="5" t="n">
        <v>420000</v>
      </c>
      <c r="F8" s="5">
        <f>E8</f>
        <v/>
      </c>
    </row>
    <row r="9">
      <c r="A9" t="inlineStr">
        <is>
          <t>Intangible Assets</t>
        </is>
      </c>
      <c r="B9" s="5" t="n">
        <v>60000</v>
      </c>
      <c r="C9" s="5" t="n">
        <v>60000</v>
      </c>
      <c r="D9" s="5" t="n">
        <v>58000</v>
      </c>
      <c r="E9" s="5" t="n">
        <v>58000</v>
      </c>
      <c r="F9" s="5">
        <f>E9</f>
        <v/>
      </c>
    </row>
    <row r="10">
      <c r="A10" s="11" t="inlineStr">
        <is>
          <t>Total Assets</t>
        </is>
      </c>
      <c r="B10" s="12">
        <f>B7+B8+B9</f>
        <v/>
      </c>
      <c r="C10" s="12">
        <f>C7+C8+C9</f>
        <v/>
      </c>
      <c r="D10" s="12">
        <f>D7+D8+D9</f>
        <v/>
      </c>
      <c r="E10" s="12">
        <f>E7+E8+E9</f>
        <v/>
      </c>
      <c r="F10" s="12">
        <f>E10</f>
        <v/>
      </c>
    </row>
    <row r="11">
      <c r="A11" t="inlineStr">
        <is>
          <t>Accounts Payable</t>
        </is>
      </c>
      <c r="B11" s="5">
        <f>Costs!C8*0.12</f>
        <v/>
      </c>
      <c r="C11" s="5">
        <f>Costs!D8*0.12</f>
        <v/>
      </c>
      <c r="D11" s="5">
        <f>Costs!E8*0.12</f>
        <v/>
      </c>
      <c r="E11" s="5">
        <f>Costs!F8*0.12</f>
        <v/>
      </c>
      <c r="F11" s="5">
        <f>E11</f>
        <v/>
      </c>
    </row>
    <row r="12">
      <c r="A12" t="inlineStr">
        <is>
          <t>Short-Term Debt</t>
        </is>
      </c>
      <c r="B12" s="5" t="n">
        <v>45000</v>
      </c>
      <c r="C12" s="5" t="n">
        <v>40000</v>
      </c>
      <c r="D12" s="5" t="n">
        <v>35000</v>
      </c>
      <c r="E12" s="5" t="n">
        <v>30000</v>
      </c>
      <c r="F12" s="5">
        <f>E12</f>
        <v/>
      </c>
    </row>
    <row r="13">
      <c r="A13" s="6" t="inlineStr">
        <is>
          <t>Total Current Liabilities</t>
        </is>
      </c>
      <c r="B13" s="8">
        <f>SUM(B11:B12)</f>
        <v/>
      </c>
      <c r="C13" s="8">
        <f>SUM(C11:C12)</f>
        <v/>
      </c>
      <c r="D13" s="8">
        <f>SUM(D11:D12)</f>
        <v/>
      </c>
      <c r="E13" s="8">
        <f>SUM(E11:E12)</f>
        <v/>
      </c>
      <c r="F13" s="8">
        <f>E13</f>
        <v/>
      </c>
    </row>
    <row r="14">
      <c r="A14" t="inlineStr">
        <is>
          <t>Long-Term Debt</t>
        </is>
      </c>
      <c r="B14" s="5" t="n">
        <v>220000</v>
      </c>
      <c r="C14" s="5" t="n">
        <v>210000</v>
      </c>
      <c r="D14" s="5" t="n">
        <v>200000</v>
      </c>
      <c r="E14" s="5" t="n">
        <v>190000</v>
      </c>
      <c r="F14" s="5">
        <f>E14</f>
        <v/>
      </c>
    </row>
    <row r="15">
      <c r="A15" s="6" t="inlineStr">
        <is>
          <t>Total Liabilities</t>
        </is>
      </c>
      <c r="B15" s="8">
        <f>B13+B14</f>
        <v/>
      </c>
      <c r="C15" s="8">
        <f>C13+C14</f>
        <v/>
      </c>
      <c r="D15" s="8">
        <f>D13+D14</f>
        <v/>
      </c>
      <c r="E15" s="8">
        <f>E13+E14</f>
        <v/>
      </c>
      <c r="F15" s="8">
        <f>E15</f>
        <v/>
      </c>
    </row>
    <row r="16">
      <c r="A16" t="inlineStr">
        <is>
          <t>Common Stock</t>
        </is>
      </c>
      <c r="B16" s="5" t="n">
        <v>200000</v>
      </c>
      <c r="C16" s="5" t="n">
        <v>200000</v>
      </c>
      <c r="D16" s="5" t="n">
        <v>200000</v>
      </c>
      <c r="E16" s="5" t="n">
        <v>200000</v>
      </c>
      <c r="F16" s="5">
        <f>E16</f>
        <v/>
      </c>
    </row>
    <row r="17">
      <c r="A17" t="inlineStr">
        <is>
          <t>Retained Earnings</t>
        </is>
      </c>
      <c r="B17" s="5">
        <f>B10-B15-B16</f>
        <v/>
      </c>
      <c r="C17" s="5">
        <f>C10-C15-C16</f>
        <v/>
      </c>
      <c r="D17" s="5">
        <f>D10-D15-D16</f>
        <v/>
      </c>
      <c r="E17" s="5">
        <f>E10-E15-E16</f>
        <v/>
      </c>
      <c r="F17" s="5">
        <f>E17</f>
        <v/>
      </c>
    </row>
    <row r="18">
      <c r="A18" s="6" t="inlineStr">
        <is>
          <t>Total Shareholders' Equity</t>
        </is>
      </c>
      <c r="B18" s="8">
        <f>B16+B17</f>
        <v/>
      </c>
      <c r="C18" s="8">
        <f>C16+C17</f>
        <v/>
      </c>
      <c r="D18" s="8">
        <f>D16+D17</f>
        <v/>
      </c>
      <c r="E18" s="8">
        <f>E16+E17</f>
        <v/>
      </c>
      <c r="F18" s="8">
        <f>E18</f>
        <v/>
      </c>
    </row>
    <row r="19">
      <c r="A19" s="11" t="inlineStr">
        <is>
          <t>Total Liabilities &amp; Equity</t>
        </is>
      </c>
      <c r="B19" s="12">
        <f>B15+B18</f>
        <v/>
      </c>
      <c r="C19" s="12">
        <f>C15+C18</f>
        <v/>
      </c>
      <c r="D19" s="12">
        <f>D15+D18</f>
        <v/>
      </c>
      <c r="E19" s="12">
        <f>E15+E18</f>
        <v/>
      </c>
      <c r="F19" s="12">
        <f>E19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Executive Cash Flow Statement (Laporan Arus Kas)</t>
        </is>
      </c>
    </row>
    <row r="3">
      <c r="A3" s="2" t="inlineStr">
        <is>
          <t>Cash Flow Account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Full Year</t>
        </is>
      </c>
    </row>
    <row r="4">
      <c r="A4" t="inlineStr">
        <is>
          <t>Net Income</t>
        </is>
      </c>
      <c r="B4" s="5">
        <f>'Income Statement'!B8</f>
        <v/>
      </c>
      <c r="C4" s="5">
        <f>'Income Statement'!C8</f>
        <v/>
      </c>
      <c r="D4" s="5">
        <f>'Income Statement'!D8</f>
        <v/>
      </c>
      <c r="E4" s="5">
        <f>'Income Statement'!E8</f>
        <v/>
      </c>
      <c r="F4" s="5">
        <f>'Income Statement'!F8</f>
        <v/>
      </c>
    </row>
    <row r="5">
      <c r="A5" t="inlineStr">
        <is>
          <t>Depreciation &amp; Amortization</t>
        </is>
      </c>
      <c r="B5" s="5" t="n">
        <v>10000</v>
      </c>
      <c r="C5" s="5" t="n">
        <v>10000</v>
      </c>
      <c r="D5" s="5" t="n">
        <v>10000</v>
      </c>
      <c r="E5" s="5" t="n">
        <v>10000</v>
      </c>
      <c r="F5" s="5">
        <f>SUM(B5:E5)</f>
        <v/>
      </c>
    </row>
    <row r="6">
      <c r="A6" t="inlineStr">
        <is>
          <t>Change in Working Capital</t>
        </is>
      </c>
      <c r="B6" s="5" t="n">
        <v>-6000</v>
      </c>
      <c r="C6" s="5" t="n">
        <v>-5000</v>
      </c>
      <c r="D6" s="5" t="n">
        <v>-4000</v>
      </c>
      <c r="E6" s="5" t="n">
        <v>3000</v>
      </c>
      <c r="F6" s="5">
        <f>SUM(B6:E6)</f>
        <v/>
      </c>
    </row>
    <row r="7">
      <c r="A7" s="11" t="inlineStr">
        <is>
          <t>Net Cash from Operating Activities</t>
        </is>
      </c>
      <c r="B7" s="12">
        <f>SUM(B4:B6)</f>
        <v/>
      </c>
      <c r="C7" s="12">
        <f>SUM(C4:C6)</f>
        <v/>
      </c>
      <c r="D7" s="12">
        <f>SUM(D4:D6)</f>
        <v/>
      </c>
      <c r="E7" s="12">
        <f>SUM(E4:E6)</f>
        <v/>
      </c>
      <c r="F7" s="12">
        <f>SUM(F4:F6)</f>
        <v/>
      </c>
    </row>
    <row r="8">
      <c r="A8" t="inlineStr">
        <is>
          <t>Capital Expenditures (CapEx)</t>
        </is>
      </c>
      <c r="B8" s="5" t="n">
        <v>-40000</v>
      </c>
      <c r="C8" s="5" t="n">
        <v>-35000</v>
      </c>
      <c r="D8" s="5" t="n">
        <v>-15000</v>
      </c>
      <c r="E8" s="5" t="n">
        <v>-12000</v>
      </c>
      <c r="F8" s="5">
        <f>SUM(B8:E8)</f>
        <v/>
      </c>
    </row>
    <row r="9">
      <c r="A9" s="6" t="inlineStr">
        <is>
          <t>Net Cash from Investing Activities</t>
        </is>
      </c>
      <c r="B9" s="8">
        <f>B8</f>
        <v/>
      </c>
      <c r="C9" s="8">
        <f>C8</f>
        <v/>
      </c>
      <c r="D9" s="8">
        <f>D8</f>
        <v/>
      </c>
      <c r="E9" s="8">
        <f>E8</f>
        <v/>
      </c>
      <c r="F9" s="8">
        <f>SUM(B9:E9)</f>
        <v/>
      </c>
    </row>
    <row r="10">
      <c r="A10" t="inlineStr">
        <is>
          <t>Repayment of Debt</t>
        </is>
      </c>
      <c r="B10" s="5" t="n">
        <v>-5000</v>
      </c>
      <c r="C10" s="5" t="n">
        <v>-5000</v>
      </c>
      <c r="D10" s="5" t="n">
        <v>-5000</v>
      </c>
      <c r="E10" s="5" t="n">
        <v>-5000</v>
      </c>
      <c r="F10" s="5">
        <f>SUM(B10:E10)</f>
        <v/>
      </c>
    </row>
    <row r="11">
      <c r="A11" t="inlineStr">
        <is>
          <t>Dividends Paid</t>
        </is>
      </c>
      <c r="B11" s="5" t="n">
        <v>-15000</v>
      </c>
      <c r="C11" s="5" t="n">
        <v>-8000</v>
      </c>
      <c r="D11" s="5" t="n">
        <v>-8000</v>
      </c>
      <c r="E11" s="5" t="n">
        <v>-12000</v>
      </c>
      <c r="F11" s="5">
        <f>SUM(B11:E11)</f>
        <v/>
      </c>
    </row>
    <row r="12">
      <c r="A12" s="6" t="inlineStr">
        <is>
          <t>Net Cash from Financing Activities</t>
        </is>
      </c>
      <c r="B12" s="8">
        <f>SUM(B10:B11)</f>
        <v/>
      </c>
      <c r="C12" s="8">
        <f>SUM(C10:C11)</f>
        <v/>
      </c>
      <c r="D12" s="8">
        <f>SUM(D10:D11)</f>
        <v/>
      </c>
      <c r="E12" s="8">
        <f>SUM(E10:E11)</f>
        <v/>
      </c>
      <c r="F12" s="8">
        <f>SUM(F10:F11)</f>
        <v/>
      </c>
    </row>
    <row r="13">
      <c r="A13" s="11" t="inlineStr">
        <is>
          <t>Net Increase / Decrease in Cash</t>
        </is>
      </c>
      <c r="B13" s="12">
        <f>B7+B9+B12</f>
        <v/>
      </c>
      <c r="C13" s="12">
        <f>C7+C9+C12</f>
        <v/>
      </c>
      <c r="D13" s="12">
        <f>D7+D9+D12</f>
        <v/>
      </c>
      <c r="E13" s="12">
        <f>E7+E9+E12</f>
        <v/>
      </c>
      <c r="F13" s="12">
        <f>SUM(B13:E13)</f>
        <v/>
      </c>
    </row>
    <row r="14">
      <c r="A14" t="inlineStr">
        <is>
          <t>Beginning Cash Balance</t>
        </is>
      </c>
      <c r="B14" s="5" t="n">
        <v>100000</v>
      </c>
      <c r="C14" s="5">
        <f>B15</f>
        <v/>
      </c>
      <c r="D14" s="5">
        <f>C15</f>
        <v/>
      </c>
      <c r="E14" s="5">
        <f>D15</f>
        <v/>
      </c>
      <c r="F14" s="5" t="n">
        <v>100000</v>
      </c>
    </row>
    <row r="15">
      <c r="A15" s="11" t="inlineStr">
        <is>
          <t>Ending Cash Balance</t>
        </is>
      </c>
      <c r="B15" s="12">
        <f>B13+B14</f>
        <v/>
      </c>
      <c r="C15" s="12">
        <f>C13+C14</f>
        <v/>
      </c>
      <c r="D15" s="12">
        <f>D13+D14</f>
        <v/>
      </c>
      <c r="E15" s="12">
        <f>E13+E14</f>
        <v/>
      </c>
      <c r="F15" s="12">
        <f>E15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2026-10-14T01:57:12Z</dcterms:created>
  <dcterms:modified xmlns:dcterms="http://purl.org/dc/terms/" xmlns:xsi="http://www.w3.org/2001/XMLSchema-instance" xsi:type="dcterms:W3CDTF">2026-10-14T01:57:12Z</dcterms:modified>
</cp:coreProperties>
</file>