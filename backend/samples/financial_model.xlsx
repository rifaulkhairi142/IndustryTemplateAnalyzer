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osts" sheetId="3" state="visible" r:id="rId3"/>
    <sheet name="Income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5" fontId="3" fillId="3" borderId="0" pivotButton="0" quotePrefix="0" xfId="0"/>
    <xf numFmtId="165" fontId="3" fillId="0" borderId="0" pivotButton="0" quotePrefix="0" xfId="0"/>
    <xf numFmtId="0" fontId="4" fillId="0" borderId="0" pivotButton="0" quotePrefix="0" xfId="0"/>
    <xf numFmtId="165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Key Financial Assumptions</t>
        </is>
      </c>
    </row>
    <row r="3">
      <c r="A3" s="2" t="inlineStr">
        <is>
          <t>Assumption</t>
        </is>
      </c>
      <c r="B3" s="2" t="inlineStr">
        <is>
          <t>Value</t>
        </is>
      </c>
    </row>
    <row r="4">
      <c r="A4" t="inlineStr">
        <is>
          <t>Base Growth Rate</t>
        </is>
      </c>
      <c r="B4" s="3" t="n">
        <v>0.08</v>
      </c>
    </row>
    <row r="5">
      <c r="A5" t="inlineStr">
        <is>
          <t>Tax Rate</t>
        </is>
      </c>
      <c r="B5" s="3" t="n">
        <v>0.22</v>
      </c>
    </row>
    <row r="6">
      <c r="A6" t="inlineStr">
        <is>
          <t>Discount Rate</t>
        </is>
      </c>
      <c r="B6" s="3" t="n">
        <v>0.1</v>
      </c>
    </row>
    <row r="7">
      <c r="A7" t="inlineStr">
        <is>
          <t>Inflation Rate</t>
        </is>
      </c>
      <c r="B7" s="3" t="n">
        <v>0.03</v>
      </c>
    </row>
    <row r="8">
      <c r="A8" t="inlineStr">
        <is>
          <t>Sales Target Units</t>
        </is>
      </c>
      <c r="B8" s="4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Revenue Projections by Product</t>
        </is>
      </c>
    </row>
    <row r="3">
      <c r="A3" s="2" t="inlineStr">
        <is>
          <t>Product Line</t>
        </is>
      </c>
      <c r="B3" s="2" t="inlineStr">
        <is>
          <t>Base Units</t>
        </is>
      </c>
      <c r="C3" s="2" t="inlineStr">
        <is>
          <t>Unit Price</t>
        </is>
      </c>
      <c r="D3" s="2" t="inlineStr">
        <is>
          <t>Q1 Revenue</t>
        </is>
      </c>
      <c r="E3" s="2" t="inlineStr">
        <is>
          <t>Q2 Revenue</t>
        </is>
      </c>
      <c r="F3" s="2" t="inlineStr">
        <is>
          <t>Q3 Revenue</t>
        </is>
      </c>
      <c r="G3" s="2" t="inlineStr">
        <is>
          <t>Q4 Revenue</t>
        </is>
      </c>
      <c r="H3" s="2" t="inlineStr">
        <is>
          <t>Total Year</t>
        </is>
      </c>
    </row>
    <row r="4">
      <c r="A4" t="inlineStr">
        <is>
          <t>Enterprise Software</t>
        </is>
      </c>
      <c r="B4" s="4" t="n">
        <v>1200</v>
      </c>
      <c r="C4" s="5" t="n">
        <v>450</v>
      </c>
      <c r="D4" s="5">
        <f>B4*C4/4</f>
        <v/>
      </c>
      <c r="E4" s="5">
        <f>D4*(1+Assumptions!B4)</f>
        <v/>
      </c>
      <c r="F4" s="5">
        <f>E4*(1+Assumptions!B4)</f>
        <v/>
      </c>
      <c r="G4" s="5">
        <f>F4*(1+Assumptions!B4)</f>
        <v/>
      </c>
      <c r="H4" s="5">
        <f>SUM(D4:G4)</f>
        <v/>
      </c>
    </row>
    <row r="5">
      <c r="A5" t="inlineStr">
        <is>
          <t>Cloud Subscription</t>
        </is>
      </c>
      <c r="B5" s="4" t="n">
        <v>3500</v>
      </c>
      <c r="C5" s="5" t="n">
        <v>120</v>
      </c>
      <c r="D5" s="5">
        <f>B5*C5/4</f>
        <v/>
      </c>
      <c r="E5" s="5">
        <f>D5*(1+Assumptions!B4)</f>
        <v/>
      </c>
      <c r="F5" s="5">
        <f>E5*(1+Assumptions!B4)</f>
        <v/>
      </c>
      <c r="G5" s="5">
        <f>F5*(1+Assumptions!B4)</f>
        <v/>
      </c>
      <c r="H5" s="5">
        <f>SUM(D5:G5)</f>
        <v/>
      </c>
    </row>
    <row r="6">
      <c r="A6" t="inlineStr">
        <is>
          <t>Consulting Services</t>
        </is>
      </c>
      <c r="B6" s="4" t="n">
        <v>800</v>
      </c>
      <c r="C6" s="5" t="n">
        <v>200</v>
      </c>
      <c r="D6" s="5">
        <f>B6*C6/4</f>
        <v/>
      </c>
      <c r="E6" s="5">
        <f>D6*(1+Assumptions!B4)</f>
        <v/>
      </c>
      <c r="F6" s="5" t="n">
        <v>43500</v>
      </c>
      <c r="G6" s="5">
        <f>F6*(1+Assumptions!B4)</f>
        <v/>
      </c>
      <c r="H6" s="5">
        <f>SUM(D6:G6)</f>
        <v/>
      </c>
    </row>
    <row r="7">
      <c r="A7" t="inlineStr">
        <is>
          <t>Hardware Appliances</t>
        </is>
      </c>
      <c r="B7" s="4" t="n">
        <v>400</v>
      </c>
      <c r="C7" s="5" t="n">
        <v>850</v>
      </c>
      <c r="D7" s="5">
        <f>B7*C7/4</f>
        <v/>
      </c>
      <c r="E7" s="5">
        <f>D7*(1+Assumptions!B4)</f>
        <v/>
      </c>
      <c r="F7" s="5">
        <f>E7*(1+Assumptions!B4)</f>
        <v/>
      </c>
      <c r="G7" s="5">
        <f>F7*(1+Assumptions!B4)</f>
        <v/>
      </c>
      <c r="H7" s="5">
        <f>SUM(D7:G7)</f>
        <v/>
      </c>
    </row>
    <row r="8">
      <c r="A8" s="6" t="inlineStr">
        <is>
          <t>Total Revenue</t>
        </is>
      </c>
      <c r="D8" s="7">
        <f>SUM(D4:D7)</f>
        <v/>
      </c>
      <c r="E8" s="7">
        <f>SUM(E4:E7)</f>
        <v/>
      </c>
      <c r="F8" s="7">
        <f>SUM(F4:F7)</f>
        <v/>
      </c>
      <c r="G8" s="7">
        <f>SUM(G4:G7)</f>
        <v/>
      </c>
      <c r="H8" s="7">
        <f>SUM(H4:H7)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Operating &amp; Cost Breakdown</t>
        </is>
      </c>
    </row>
    <row r="3">
      <c r="A3" s="2" t="inlineStr">
        <is>
          <t>Cost Category</t>
        </is>
      </c>
      <c r="B3" s="2" t="inlineStr">
        <is>
          <t>Type</t>
        </is>
      </c>
      <c r="C3" s="2" t="inlineStr">
        <is>
          <t>Q1 Costs</t>
        </is>
      </c>
      <c r="D3" s="2" t="inlineStr">
        <is>
          <t>Q2 Costs</t>
        </is>
      </c>
      <c r="E3" s="2" t="inlineStr">
        <is>
          <t>Q3 Costs</t>
        </is>
      </c>
      <c r="F3" s="2" t="inlineStr">
        <is>
          <t>Q4 Costs</t>
        </is>
      </c>
      <c r="G3" s="2" t="inlineStr">
        <is>
          <t>Annual Total</t>
        </is>
      </c>
    </row>
    <row r="4">
      <c r="A4" t="inlineStr">
        <is>
          <t>Direct Labor / COGS</t>
        </is>
      </c>
      <c r="B4" t="inlineStr">
        <is>
          <t>COGS</t>
        </is>
      </c>
      <c r="C4" s="5">
        <f>Revenue!D8*0.35</f>
        <v/>
      </c>
      <c r="D4" s="5">
        <f>Revenue!E8*0.35</f>
        <v/>
      </c>
      <c r="E4" s="5">
        <f>Revenue!F8*0.35</f>
        <v/>
      </c>
      <c r="F4" s="5">
        <f>Revenue!G8*0.35</f>
        <v/>
      </c>
      <c r="G4" s="5">
        <f>SUM(C4:F4)</f>
        <v/>
      </c>
    </row>
    <row r="5">
      <c r="A5" t="inlineStr">
        <is>
          <t>Research &amp; Development</t>
        </is>
      </c>
      <c r="B5" t="inlineStr">
        <is>
          <t>OPEX</t>
        </is>
      </c>
      <c r="C5" s="5" t="n">
        <v>120000</v>
      </c>
      <c r="D5" s="5">
        <f>C5*(1+Assumptions!B7)</f>
        <v/>
      </c>
      <c r="E5" s="5">
        <f>D5*(1+Assumptions!B7)</f>
        <v/>
      </c>
      <c r="F5" s="5">
        <f>E5*(1+Assumptions!B7)</f>
        <v/>
      </c>
      <c r="G5" s="5">
        <f>SUM(C5:F5)</f>
        <v/>
      </c>
    </row>
    <row r="6">
      <c r="A6" t="inlineStr">
        <is>
          <t>Sales &amp; Marketing</t>
        </is>
      </c>
      <c r="B6" t="inlineStr">
        <is>
          <t>OPEX</t>
        </is>
      </c>
      <c r="C6" s="5">
        <f>Revenue!D8*0.15</f>
        <v/>
      </c>
      <c r="D6" s="5">
        <f>Revenue!E8*0.15</f>
        <v/>
      </c>
      <c r="E6" s="5">
        <f>Revenue!F8*0.15</f>
        <v/>
      </c>
      <c r="F6" s="5">
        <f>Revenue!G8*0.15</f>
        <v/>
      </c>
      <c r="G6" s="5">
        <f>SUM(C6:F6)</f>
        <v/>
      </c>
    </row>
    <row r="7">
      <c r="A7" t="inlineStr">
        <is>
          <t>General &amp; Administrative</t>
        </is>
      </c>
      <c r="B7" t="inlineStr">
        <is>
          <t>OPEX</t>
        </is>
      </c>
      <c r="C7" s="5" t="n">
        <v>85000</v>
      </c>
      <c r="D7" s="5" t="n">
        <v>85000</v>
      </c>
      <c r="E7" s="5" t="n">
        <v>85000</v>
      </c>
      <c r="F7" s="5" t="n">
        <v>85000</v>
      </c>
      <c r="G7" s="5">
        <f>SUM(C7:F7)</f>
        <v/>
      </c>
    </row>
    <row r="8">
      <c r="A8" s="6" t="inlineStr">
        <is>
          <t>Total Expenses</t>
        </is>
      </c>
      <c r="C8" s="7">
        <f>SUM(C4:C7)</f>
        <v/>
      </c>
      <c r="D8" s="7">
        <f>SUM(D4:D7)</f>
        <v/>
      </c>
      <c r="E8" s="7">
        <f>SUM(E4:E7)</f>
        <v/>
      </c>
      <c r="F8" s="7">
        <f>SUM(F4:F7)</f>
        <v/>
      </c>
      <c r="G8" s="7">
        <f>SUM(G4:G7)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Executive Income Statement</t>
        </is>
      </c>
    </row>
    <row r="3">
      <c r="A3" s="2" t="inlineStr">
        <is>
          <t>Metric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  <c r="F3" s="2" t="inlineStr">
        <is>
          <t>Full Year</t>
        </is>
      </c>
    </row>
    <row r="4">
      <c r="A4" t="inlineStr">
        <is>
          <t>Gross Revenue</t>
        </is>
      </c>
      <c r="B4" s="5">
        <f>Revenue!D8</f>
        <v/>
      </c>
      <c r="C4" s="5">
        <f>Revenue!E8</f>
        <v/>
      </c>
      <c r="D4" s="5">
        <f>Revenue!F8</f>
        <v/>
      </c>
      <c r="E4" s="5">
        <f>Revenue!G8</f>
        <v/>
      </c>
      <c r="F4" s="5">
        <f>Revenue!H8</f>
        <v/>
      </c>
    </row>
    <row r="5">
      <c r="A5" t="inlineStr">
        <is>
          <t>Total Expenses</t>
        </is>
      </c>
      <c r="B5" s="5">
        <f>Costs!C8</f>
        <v/>
      </c>
      <c r="C5" s="5">
        <f>Costs!D8</f>
        <v/>
      </c>
      <c r="D5" s="5">
        <f>Costs!F8</f>
        <v/>
      </c>
      <c r="E5" s="5">
        <f>Costs!F8</f>
        <v/>
      </c>
      <c r="F5" s="5">
        <f>Costs!G8</f>
        <v/>
      </c>
    </row>
    <row r="6">
      <c r="A6" s="6" t="inlineStr">
        <is>
          <t>Operating Income (EBIT)</t>
        </is>
      </c>
      <c r="B6" s="8">
        <f>B4-B5</f>
        <v/>
      </c>
      <c r="C6" s="8">
        <f>C4-C5</f>
        <v/>
      </c>
      <c r="D6" s="8">
        <f>D4-D5</f>
        <v/>
      </c>
      <c r="E6" s="8">
        <f>E4-E5</f>
        <v/>
      </c>
      <c r="F6" s="8">
        <f>SUM(B6:E6)</f>
        <v/>
      </c>
    </row>
    <row r="7">
      <c r="A7" t="inlineStr">
        <is>
          <t>Income Tax (22%)</t>
        </is>
      </c>
      <c r="B7" s="5">
        <f>B6*Assumptions!B5</f>
        <v/>
      </c>
      <c r="C7" s="5">
        <f>C6*Assumptions!B5</f>
        <v/>
      </c>
      <c r="D7" s="5">
        <f>D6*Assumptions!B5</f>
        <v/>
      </c>
      <c r="E7" s="5">
        <f>E6*Assumptions!B5</f>
        <v/>
      </c>
      <c r="F7" s="5">
        <f>SUM(B7:E7)</f>
        <v/>
      </c>
    </row>
    <row r="8">
      <c r="A8" s="9" t="inlineStr">
        <is>
          <t>Net Income</t>
        </is>
      </c>
      <c r="B8" s="10">
        <f>B6-B7</f>
        <v/>
      </c>
      <c r="C8" s="10">
        <f>C6-C7</f>
        <v/>
      </c>
      <c r="D8" s="10">
        <f>D6-D7</f>
        <v/>
      </c>
      <c r="E8" s="10">
        <f>E6-E7</f>
        <v/>
      </c>
      <c r="F8" s="10">
        <f>F6-F7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2026-10-11T09:48:04Z</dcterms:created>
  <dcterms:modified xsi:type="dcterms:W3CDTF">2026-10-11T09:48:04Z</dcterms:modified>
</cp:coreProperties>
</file>